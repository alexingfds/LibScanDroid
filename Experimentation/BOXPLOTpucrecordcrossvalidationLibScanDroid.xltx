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icha\PycharmProjects\pythonProject\"/>
    </mc:Choice>
  </mc:AlternateContent>
  <xr:revisionPtr revIDLastSave="0" documentId="13_ncr:40009_{6A55A494-22DC-4AA7-9B3F-7A4137A45818}" xr6:coauthVersionLast="47" xr6:coauthVersionMax="47" xr10:uidLastSave="{00000000-0000-0000-0000-000000000000}"/>
  <bookViews>
    <workbookView minimized="1" xWindow="6108" yWindow="2616" windowWidth="13824" windowHeight="7176" tabRatio="851" firstSheet="1" activeTab="1"/>
  </bookViews>
  <sheets>
    <sheet name="pucrecordcrossvalidation" sheetId="1" r:id="rId1"/>
    <sheet name="Cross-validation" sheetId="2" r:id="rId2"/>
    <sheet name="5 points variation max epsilon" sheetId="3" r:id="rId3"/>
    <sheet name="10 point variation max epsilon" sheetId="4" r:id="rId4"/>
    <sheet name="variation nombre point" sheetId="5" r:id="rId5"/>
  </sheets>
  <externalReferences>
    <externalReference r:id="rId6"/>
    <externalReference r:id="rId7"/>
    <externalReference r:id="rId8"/>
  </externalReferences>
  <definedNames>
    <definedName name="_xlchart.v1.0" hidden="1">'Cross-validation'!$A$2:$A$11</definedName>
    <definedName name="_xlchart.v1.1" hidden="1">'Cross-validation'!$B$2:$B$11</definedName>
    <definedName name="_xlchart.v1.2" hidden="1">'Cross-validation'!$A$2:$A$11</definedName>
    <definedName name="_xlchart.v1.3" hidden="1">'Cross-validation'!$B$2:$B$11</definedName>
  </definedNames>
  <calcPr calcId="0"/>
</workbook>
</file>

<file path=xl/calcChain.xml><?xml version="1.0" encoding="utf-8"?>
<calcChain xmlns="http://schemas.openxmlformats.org/spreadsheetml/2006/main">
  <c r="H9" i="2" l="1"/>
  <c r="H8" i="2"/>
  <c r="G8" i="2"/>
  <c r="H7" i="2"/>
  <c r="G7" i="2"/>
  <c r="H6" i="2"/>
  <c r="G6" i="2"/>
  <c r="H5" i="2"/>
  <c r="G5" i="2"/>
  <c r="H4" i="2"/>
  <c r="G4" i="2"/>
  <c r="H3" i="2"/>
  <c r="G3" i="2"/>
  <c r="G9" i="2" l="1"/>
</calcChain>
</file>

<file path=xl/sharedStrings.xml><?xml version="1.0" encoding="utf-8"?>
<sst xmlns="http://schemas.openxmlformats.org/spreadsheetml/2006/main" count="66" uniqueCount="42">
  <si>
    <t>foldname</t>
  </si>
  <si>
    <t>maxepsilon</t>
  </si>
  <si>
    <t>minpoint</t>
  </si>
  <si>
    <t>nbrlibrary</t>
  </si>
  <si>
    <t>nbrapplication</t>
  </si>
  <si>
    <t>stepepsilon</t>
  </si>
  <si>
    <t>nbrPattern</t>
  </si>
  <si>
    <t>PUC</t>
  </si>
  <si>
    <t>Datetime</t>
  </si>
  <si>
    <t>foldvalid_1valid.csv</t>
  </si>
  <si>
    <t>fold_2valid.csv</t>
  </si>
  <si>
    <t>fold_3valid.csv</t>
  </si>
  <si>
    <t>fold_4valid.csv</t>
  </si>
  <si>
    <t>fold_5valid.csv</t>
  </si>
  <si>
    <t>fold_6valid.csv</t>
  </si>
  <si>
    <t>fold_7valid.csv</t>
  </si>
  <si>
    <t>fold_8valid.csv</t>
  </si>
  <si>
    <t>fold_9valid.csv</t>
  </si>
  <si>
    <t>fold_10valid.csv</t>
  </si>
  <si>
    <t>fold_1Training.csv</t>
  </si>
  <si>
    <t>fold_2Training.csv</t>
  </si>
  <si>
    <t>fold_3Training.csv</t>
  </si>
  <si>
    <t>fold_4Training.csv</t>
  </si>
  <si>
    <t>fold_5Training.csv</t>
  </si>
  <si>
    <t>fold_6Training.csv</t>
  </si>
  <si>
    <t>fold_7Training.csv</t>
  </si>
  <si>
    <t>fold_8Training.csv</t>
  </si>
  <si>
    <t>fold_9Training.csv</t>
  </si>
  <si>
    <t>fold_10Training.csv</t>
  </si>
  <si>
    <t>PUC_Validation</t>
  </si>
  <si>
    <t>PUC_Training</t>
  </si>
  <si>
    <t>Minimum</t>
  </si>
  <si>
    <t>Q1</t>
  </si>
  <si>
    <t>Median</t>
  </si>
  <si>
    <t>Maximum</t>
  </si>
  <si>
    <t>Mean</t>
  </si>
  <si>
    <t>Range</t>
  </si>
  <si>
    <t>IQR</t>
  </si>
  <si>
    <t>IQR*1.5</t>
  </si>
  <si>
    <t>Down outlier</t>
  </si>
  <si>
    <t>Up outlier</t>
  </si>
  <si>
    <t>Q3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</si>
</sst>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7" fontId="0" fillId="0" borderId="0" xfId="0" applyNumberFormat="1"/>
    <xf numFmtId="0" fontId="16" fillId="0" borderId="0" xfId="0" applyFont="1"/>
    <xf numFmtId="0" fontId="6" fillId="2" borderId="0" xfId="6"/>
    <xf numFmtId="0" fontId="7" fillId="3" borderId="0" xfId="7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[1]pucrecordboucleminpoint5variabl!$G$1</c:f>
              <c:strCache>
                <c:ptCount val="1"/>
                <c:pt idx="0">
                  <c:v>PUC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[1]pucrecordboucleminpoint5variabl!$A$2:$A$10</c:f>
              <c:numCache>
                <c:formatCode>General</c:formatCode>
                <c:ptCount val="9"/>
                <c:pt idx="0">
                  <c:v>0.2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0.6</c:v>
                </c:pt>
                <c:pt idx="5">
                  <c:v>0.7</c:v>
                </c:pt>
                <c:pt idx="6">
                  <c:v>0.8</c:v>
                </c:pt>
                <c:pt idx="7">
                  <c:v>0.9</c:v>
                </c:pt>
                <c:pt idx="8">
                  <c:v>1</c:v>
                </c:pt>
              </c:numCache>
            </c:numRef>
          </c:xVal>
          <c:yVal>
            <c:numRef>
              <c:f>[1]pucrecordboucleminpoint5variabl!$G$2:$G$10</c:f>
              <c:numCache>
                <c:formatCode>General</c:formatCode>
                <c:ptCount val="9"/>
                <c:pt idx="0">
                  <c:v>0.98451637510828305</c:v>
                </c:pt>
                <c:pt idx="1">
                  <c:v>0.98451637510828305</c:v>
                </c:pt>
                <c:pt idx="2">
                  <c:v>0.898046810672956</c:v>
                </c:pt>
                <c:pt idx="3">
                  <c:v>0.89066972784603804</c:v>
                </c:pt>
                <c:pt idx="4">
                  <c:v>0.863809327139337</c:v>
                </c:pt>
                <c:pt idx="5">
                  <c:v>0.53940337131948302</c:v>
                </c:pt>
                <c:pt idx="6">
                  <c:v>0.41901176539035201</c:v>
                </c:pt>
                <c:pt idx="7">
                  <c:v>0.35008722988124202</c:v>
                </c:pt>
                <c:pt idx="8">
                  <c:v>0.34074357295938101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7A-4D1F-BD29-C671844B8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810639"/>
        <c:axId val="1674808975"/>
      </c:scatterChart>
      <c:valAx>
        <c:axId val="1674810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808975"/>
        <c:crosses val="autoZero"/>
        <c:crossBetween val="midCat"/>
      </c:valAx>
      <c:valAx>
        <c:axId val="167480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8106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[2]pucrecordboucleminpoint10variab!$G$1</c:f>
              <c:strCache>
                <c:ptCount val="1"/>
                <c:pt idx="0">
                  <c:v>PUC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[2]pucrecordboucleminpoint10variab!$A$2:$A$10</c:f>
              <c:numCache>
                <c:formatCode>General</c:formatCode>
                <c:ptCount val="9"/>
                <c:pt idx="0">
                  <c:v>0.2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0.6</c:v>
                </c:pt>
                <c:pt idx="5">
                  <c:v>0.7</c:v>
                </c:pt>
                <c:pt idx="6">
                  <c:v>0.8</c:v>
                </c:pt>
                <c:pt idx="7">
                  <c:v>0.9</c:v>
                </c:pt>
                <c:pt idx="8">
                  <c:v>1</c:v>
                </c:pt>
              </c:numCache>
            </c:numRef>
          </c:xVal>
          <c:yVal>
            <c:numRef>
              <c:f>[2]pucrecordboucleminpoint10variab!$G$2:$G$10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0.94780219799999998</c:v>
                </c:pt>
                <c:pt idx="3">
                  <c:v>0.841471572</c:v>
                </c:pt>
                <c:pt idx="4">
                  <c:v>0.86183237099999999</c:v>
                </c:pt>
                <c:pt idx="5">
                  <c:v>0.58491536899999996</c:v>
                </c:pt>
                <c:pt idx="6">
                  <c:v>0.36457460200000003</c:v>
                </c:pt>
                <c:pt idx="7">
                  <c:v>0.33239864000000002</c:v>
                </c:pt>
                <c:pt idx="8">
                  <c:v>0.487100019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9-4696-AF60-9301ED8E9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340895"/>
        <c:axId val="1834341727"/>
      </c:scatterChart>
      <c:valAx>
        <c:axId val="1834340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341727"/>
        <c:crosses val="autoZero"/>
        <c:crossBetween val="midCat"/>
      </c:valAx>
      <c:valAx>
        <c:axId val="183434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340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PUC-variatiation</a:t>
            </a:r>
            <a:r>
              <a:rPr lang="en-US" baseline="0"/>
              <a:t> de nombre de points (2-19)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[3]pucrecordboucle!$G$1</c:f>
              <c:strCache>
                <c:ptCount val="1"/>
                <c:pt idx="0">
                  <c:v>PUC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[3]pucrecordboucle!$B$2:$B$19</c:f>
              <c:numCache>
                <c:formatCode>General</c:formatCode>
                <c:ptCount val="1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</c:numCache>
            </c:numRef>
          </c:xVal>
          <c:yVal>
            <c:numRef>
              <c:f>[3]pucrecordboucle!$G$2:$G$19</c:f>
              <c:numCache>
                <c:formatCode>General</c:formatCode>
                <c:ptCount val="18"/>
                <c:pt idx="0">
                  <c:v>0.91763893552371001</c:v>
                </c:pt>
                <c:pt idx="1">
                  <c:v>0.91044931752966596</c:v>
                </c:pt>
                <c:pt idx="2">
                  <c:v>0.907663994257072</c:v>
                </c:pt>
                <c:pt idx="3">
                  <c:v>0.863809327139337</c:v>
                </c:pt>
                <c:pt idx="4">
                  <c:v>0.85268304561782804</c:v>
                </c:pt>
                <c:pt idx="5">
                  <c:v>0.77282777022360305</c:v>
                </c:pt>
                <c:pt idx="6">
                  <c:v>0.78207922592113699</c:v>
                </c:pt>
                <c:pt idx="7">
                  <c:v>0.74577391917545299</c:v>
                </c:pt>
                <c:pt idx="8">
                  <c:v>0.86183237052802197</c:v>
                </c:pt>
                <c:pt idx="9">
                  <c:v>0.84147157190635402</c:v>
                </c:pt>
                <c:pt idx="10">
                  <c:v>0.82396183937765999</c:v>
                </c:pt>
                <c:pt idx="11">
                  <c:v>0.82396183937765999</c:v>
                </c:pt>
                <c:pt idx="12">
                  <c:v>0.82919413919413898</c:v>
                </c:pt>
                <c:pt idx="13">
                  <c:v>0.94780219780219699</c:v>
                </c:pt>
                <c:pt idx="14">
                  <c:v>0.94815705128205097</c:v>
                </c:pt>
                <c:pt idx="15">
                  <c:v>0.94815705128205097</c:v>
                </c:pt>
                <c:pt idx="16">
                  <c:v>0.94815705128205097</c:v>
                </c:pt>
                <c:pt idx="17">
                  <c:v>0.94815705128205097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D8-454F-B243-AE8BFB521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653199"/>
        <c:axId val="1835653615"/>
      </c:scatterChart>
      <c:valAx>
        <c:axId val="1835653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653615"/>
        <c:crosses val="autoZero"/>
        <c:crossBetween val="midCat"/>
      </c:valAx>
      <c:valAx>
        <c:axId val="183565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653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title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14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title>
    <cx:plotArea>
      <cx:plotAreaRegion>
        <cx:series layoutId="boxWhisker" uniqueId="{2DDE06CF-5F82-4F99-B2E3-25AF33EE8449}">
          <cx:dataId val="0"/>
          <cx:layoutPr>
            <cx:visibility meanLine="0" meanMarker="1" nonoutliers="1" outliers="1"/>
            <cx:statistics quartileMethod="inclusive"/>
          </cx:layoutPr>
        </cx:series>
        <cx:series layoutId="boxWhisker" uniqueId="{3F90D488-91A3-45C2-B57A-52848E70E300}">
          <cx:dataId val="1"/>
          <cx:layoutPr>
            <cx:visibility meanLine="1" meanMarker="1" nonoutliers="1" outliers="1"/>
            <cx:statistics quartileMethod="exclusive"/>
          </cx:layoutPr>
        </cx:series>
      </cx:plotAreaRegion>
      <cx:axis id="0" hidden="1">
        <cx:catScaling gapWidth="1.5"/>
        <cx:tickLabels/>
      </cx:axis>
      <cx:axis id="1">
        <cx:valScaling/>
        <cx:majorGridlines/>
        <cx:min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7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lt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60000"/>
        </a:schemeClr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2857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25400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2857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21906</xdr:colOff>
      <xdr:row>1</xdr:row>
      <xdr:rowOff>47625</xdr:rowOff>
    </xdr:from>
    <xdr:to>
      <xdr:col>16</xdr:col>
      <xdr:colOff>493394</xdr:colOff>
      <xdr:row>40</xdr:row>
      <xdr:rowOff>47625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 descr="dff&#10;">
              <a:extLst>
                <a:ext uri="{FF2B5EF4-FFF2-40B4-BE49-F238E27FC236}">
                  <a16:creationId xmlns:a16="http://schemas.microsoft.com/office/drawing/2014/main" id="{0291851A-5E83-4DA6-BDB1-8988776C2A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17981" y="228600"/>
              <a:ext cx="4738688" cy="7058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472440</xdr:colOff>
      <xdr:row>5</xdr:row>
      <xdr:rowOff>175260</xdr:rowOff>
    </xdr:from>
    <xdr:to>
      <xdr:col>17</xdr:col>
      <xdr:colOff>167640</xdr:colOff>
      <xdr:row>20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2BA2A-9BB0-45C5-899C-47D0AEB95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121920</xdr:colOff>
      <xdr:row>7</xdr:row>
      <xdr:rowOff>167640</xdr:rowOff>
    </xdr:from>
    <xdr:to>
      <xdr:col>16</xdr:col>
      <xdr:colOff>426720</xdr:colOff>
      <xdr:row>22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D277CA-AD5F-45E7-91D0-238DFD801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411480</xdr:colOff>
      <xdr:row>5</xdr:row>
      <xdr:rowOff>30480</xdr:rowOff>
    </xdr:from>
    <xdr:to>
      <xdr:col>17</xdr:col>
      <xdr:colOff>106680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F3A404-79A7-4993-8DF4-5451999D10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ucrecordboucleminpoint5variablemaxepsilon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ucrecordboucleminpoint10variablemaxepsilon.csv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ucrecordbouc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crecordboucleminpoint5variabl"/>
    </sheetNames>
    <sheetDataSet>
      <sheetData sheetId="0">
        <row r="1">
          <cell r="G1" t="str">
            <v>PUC</v>
          </cell>
        </row>
        <row r="2">
          <cell r="A2">
            <v>0.2</v>
          </cell>
          <cell r="G2">
            <v>0.98451637510828305</v>
          </cell>
        </row>
        <row r="3">
          <cell r="A3">
            <v>0.3</v>
          </cell>
          <cell r="G3">
            <v>0.98451637510828305</v>
          </cell>
        </row>
        <row r="4">
          <cell r="A4">
            <v>0.4</v>
          </cell>
          <cell r="G4">
            <v>0.898046810672956</v>
          </cell>
        </row>
        <row r="5">
          <cell r="A5">
            <v>0.5</v>
          </cell>
          <cell r="G5">
            <v>0.89066972784603804</v>
          </cell>
        </row>
        <row r="6">
          <cell r="A6">
            <v>0.6</v>
          </cell>
          <cell r="G6">
            <v>0.863809327139337</v>
          </cell>
        </row>
        <row r="7">
          <cell r="A7">
            <v>0.7</v>
          </cell>
          <cell r="G7">
            <v>0.53940337131948302</v>
          </cell>
        </row>
        <row r="8">
          <cell r="A8">
            <v>0.8</v>
          </cell>
          <cell r="G8">
            <v>0.41901176539035201</v>
          </cell>
        </row>
        <row r="9">
          <cell r="A9">
            <v>0.9</v>
          </cell>
          <cell r="G9">
            <v>0.35008722988124202</v>
          </cell>
        </row>
        <row r="10">
          <cell r="A10">
            <v>1</v>
          </cell>
          <cell r="G10">
            <v>0.34074357295938101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crecordboucleminpoint10variab"/>
    </sheetNames>
    <sheetDataSet>
      <sheetData sheetId="0">
        <row r="1">
          <cell r="G1" t="str">
            <v>PUC</v>
          </cell>
        </row>
        <row r="2">
          <cell r="A2">
            <v>0.2</v>
          </cell>
          <cell r="G2">
            <v>1</v>
          </cell>
        </row>
        <row r="3">
          <cell r="A3">
            <v>0.3</v>
          </cell>
          <cell r="G3">
            <v>1</v>
          </cell>
        </row>
        <row r="4">
          <cell r="A4">
            <v>0.4</v>
          </cell>
          <cell r="G4">
            <v>0.94780219799999998</v>
          </cell>
        </row>
        <row r="5">
          <cell r="A5">
            <v>0.5</v>
          </cell>
          <cell r="G5">
            <v>0.841471572</v>
          </cell>
        </row>
        <row r="6">
          <cell r="A6">
            <v>0.6</v>
          </cell>
          <cell r="G6">
            <v>0.86183237099999999</v>
          </cell>
        </row>
        <row r="7">
          <cell r="A7">
            <v>0.7</v>
          </cell>
          <cell r="G7">
            <v>0.58491536899999996</v>
          </cell>
        </row>
        <row r="8">
          <cell r="A8">
            <v>0.8</v>
          </cell>
          <cell r="G8">
            <v>0.36457460200000003</v>
          </cell>
        </row>
        <row r="9">
          <cell r="A9">
            <v>0.9</v>
          </cell>
          <cell r="G9">
            <v>0.33239864000000002</v>
          </cell>
        </row>
        <row r="10">
          <cell r="A10">
            <v>1</v>
          </cell>
          <cell r="G10">
            <v>0.487100019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crecordboucle"/>
    </sheetNames>
    <sheetDataSet>
      <sheetData sheetId="0">
        <row r="1">
          <cell r="G1" t="str">
            <v>PUC</v>
          </cell>
        </row>
        <row r="2">
          <cell r="B2">
            <v>2</v>
          </cell>
          <cell r="G2">
            <v>0.91763893552371001</v>
          </cell>
        </row>
        <row r="3">
          <cell r="B3">
            <v>3</v>
          </cell>
          <cell r="G3">
            <v>0.91044931752966596</v>
          </cell>
        </row>
        <row r="4">
          <cell r="B4">
            <v>4</v>
          </cell>
          <cell r="G4">
            <v>0.907663994257072</v>
          </cell>
        </row>
        <row r="5">
          <cell r="B5">
            <v>5</v>
          </cell>
          <cell r="G5">
            <v>0.863809327139337</v>
          </cell>
        </row>
        <row r="6">
          <cell r="B6">
            <v>6</v>
          </cell>
          <cell r="G6">
            <v>0.85268304561782804</v>
          </cell>
        </row>
        <row r="7">
          <cell r="B7">
            <v>7</v>
          </cell>
          <cell r="G7">
            <v>0.77282777022360305</v>
          </cell>
        </row>
        <row r="8">
          <cell r="B8">
            <v>8</v>
          </cell>
          <cell r="G8">
            <v>0.78207922592113699</v>
          </cell>
        </row>
        <row r="9">
          <cell r="B9">
            <v>9</v>
          </cell>
          <cell r="G9">
            <v>0.74577391917545299</v>
          </cell>
        </row>
        <row r="10">
          <cell r="B10">
            <v>10</v>
          </cell>
          <cell r="G10">
            <v>0.86183237052802197</v>
          </cell>
        </row>
        <row r="11">
          <cell r="B11">
            <v>11</v>
          </cell>
          <cell r="G11">
            <v>0.84147157190635402</v>
          </cell>
        </row>
        <row r="12">
          <cell r="B12">
            <v>12</v>
          </cell>
          <cell r="G12">
            <v>0.82396183937765999</v>
          </cell>
        </row>
        <row r="13">
          <cell r="B13">
            <v>13</v>
          </cell>
          <cell r="G13">
            <v>0.82396183937765999</v>
          </cell>
        </row>
        <row r="14">
          <cell r="B14">
            <v>14</v>
          </cell>
          <cell r="G14">
            <v>0.82919413919413898</v>
          </cell>
        </row>
        <row r="15">
          <cell r="B15">
            <v>15</v>
          </cell>
          <cell r="G15">
            <v>0.94780219780219699</v>
          </cell>
        </row>
        <row r="16">
          <cell r="B16">
            <v>16</v>
          </cell>
          <cell r="G16">
            <v>0.94815705128205097</v>
          </cell>
        </row>
        <row r="17">
          <cell r="B17">
            <v>17</v>
          </cell>
          <cell r="G17">
            <v>0.94815705128205097</v>
          </cell>
        </row>
        <row r="18">
          <cell r="B18">
            <v>18</v>
          </cell>
          <cell r="G18">
            <v>0.94815705128205097</v>
          </cell>
        </row>
        <row r="19">
          <cell r="B19">
            <v>19</v>
          </cell>
          <cell r="G19">
            <v>0.94815705128205097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selection activeCell="A28" sqref="A28"/>
    </sheetView>
  </sheetViews>
  <sheetFormatPr defaultRowHeight="14.4" x14ac:dyDescent="0.3"/>
  <cols>
    <col min="1" max="1" width="32.33203125" customWidth="1"/>
    <col min="9" max="9" width="42.21875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">
        <v>9</v>
      </c>
      <c r="B2">
        <v>0.6</v>
      </c>
      <c r="C2">
        <v>5</v>
      </c>
      <c r="D2">
        <v>1459</v>
      </c>
      <c r="E2">
        <v>101</v>
      </c>
      <c r="F2">
        <v>1.2E-2</v>
      </c>
      <c r="G2">
        <v>20</v>
      </c>
      <c r="H2">
        <v>0.96893939393939399</v>
      </c>
      <c r="I2" s="1">
        <v>44405.112522164352</v>
      </c>
    </row>
    <row r="3" spans="1:9" x14ac:dyDescent="0.3">
      <c r="A3" t="s">
        <v>10</v>
      </c>
      <c r="B3">
        <v>0.6</v>
      </c>
      <c r="C3">
        <v>5</v>
      </c>
      <c r="D3">
        <v>1459</v>
      </c>
      <c r="E3">
        <v>101</v>
      </c>
      <c r="F3">
        <v>1.2E-2</v>
      </c>
      <c r="G3">
        <v>15</v>
      </c>
      <c r="H3">
        <v>0.95506447743289802</v>
      </c>
      <c r="I3" s="1">
        <v>44405.127662453706</v>
      </c>
    </row>
    <row r="4" spans="1:9" x14ac:dyDescent="0.3">
      <c r="A4" t="s">
        <v>11</v>
      </c>
      <c r="B4">
        <v>0.6</v>
      </c>
      <c r="C4">
        <v>5</v>
      </c>
      <c r="D4">
        <v>1459</v>
      </c>
      <c r="E4">
        <v>101</v>
      </c>
      <c r="F4">
        <v>1.2E-2</v>
      </c>
      <c r="G4">
        <v>16</v>
      </c>
      <c r="H4">
        <v>0.98250000000000004</v>
      </c>
      <c r="I4" s="1">
        <v>44405.143786817127</v>
      </c>
    </row>
    <row r="5" spans="1:9" x14ac:dyDescent="0.3">
      <c r="A5" t="s">
        <v>12</v>
      </c>
      <c r="B5">
        <v>0.6</v>
      </c>
      <c r="C5">
        <v>5</v>
      </c>
      <c r="D5">
        <v>1459</v>
      </c>
      <c r="E5">
        <v>101</v>
      </c>
      <c r="F5">
        <v>1.2E-2</v>
      </c>
      <c r="G5">
        <v>19</v>
      </c>
      <c r="H5">
        <v>0.97655122655122595</v>
      </c>
      <c r="I5" s="1">
        <v>44405.158844120371</v>
      </c>
    </row>
    <row r="6" spans="1:9" x14ac:dyDescent="0.3">
      <c r="A6" t="s">
        <v>13</v>
      </c>
      <c r="B6">
        <v>0.6</v>
      </c>
      <c r="C6">
        <v>5</v>
      </c>
      <c r="D6">
        <v>1459</v>
      </c>
      <c r="E6">
        <v>101</v>
      </c>
      <c r="F6">
        <v>1.2E-2</v>
      </c>
      <c r="G6">
        <v>17</v>
      </c>
      <c r="H6">
        <v>0.96588678377529502</v>
      </c>
      <c r="I6" s="1">
        <v>44405.173668981479</v>
      </c>
    </row>
    <row r="7" spans="1:9" x14ac:dyDescent="0.3">
      <c r="A7" t="s">
        <v>14</v>
      </c>
      <c r="B7">
        <v>0.6</v>
      </c>
      <c r="C7">
        <v>5</v>
      </c>
      <c r="D7">
        <v>1459</v>
      </c>
      <c r="E7">
        <v>101</v>
      </c>
      <c r="F7">
        <v>1.2E-2</v>
      </c>
      <c r="G7">
        <v>20</v>
      </c>
      <c r="H7">
        <v>0.99724025974025898</v>
      </c>
      <c r="I7" s="1">
        <v>44405.188390428244</v>
      </c>
    </row>
    <row r="8" spans="1:9" x14ac:dyDescent="0.3">
      <c r="A8" t="s">
        <v>15</v>
      </c>
      <c r="B8">
        <v>0.6</v>
      </c>
      <c r="C8">
        <v>5</v>
      </c>
      <c r="D8">
        <v>1459</v>
      </c>
      <c r="E8">
        <v>101</v>
      </c>
      <c r="F8">
        <v>1.2E-2</v>
      </c>
      <c r="G8">
        <v>20</v>
      </c>
      <c r="H8">
        <v>0.96904761904761905</v>
      </c>
      <c r="I8" s="1">
        <v>44405.202761504632</v>
      </c>
    </row>
    <row r="9" spans="1:9" x14ac:dyDescent="0.3">
      <c r="A9" t="s">
        <v>16</v>
      </c>
      <c r="B9">
        <v>0.6</v>
      </c>
      <c r="C9">
        <v>5</v>
      </c>
      <c r="D9">
        <v>1459</v>
      </c>
      <c r="E9">
        <v>101</v>
      </c>
      <c r="F9">
        <v>1.2E-2</v>
      </c>
      <c r="G9">
        <v>20</v>
      </c>
      <c r="H9">
        <v>0.98835978835978799</v>
      </c>
      <c r="I9" s="1">
        <v>44405.21637357639</v>
      </c>
    </row>
    <row r="10" spans="1:9" x14ac:dyDescent="0.3">
      <c r="A10" t="s">
        <v>17</v>
      </c>
      <c r="B10">
        <v>0.6</v>
      </c>
      <c r="C10">
        <v>5</v>
      </c>
      <c r="D10">
        <v>1459</v>
      </c>
      <c r="E10">
        <v>101</v>
      </c>
      <c r="F10">
        <v>1.2E-2</v>
      </c>
      <c r="G10">
        <v>16</v>
      </c>
      <c r="H10">
        <v>0.98726851851851805</v>
      </c>
      <c r="I10" s="1">
        <v>44405.232217986108</v>
      </c>
    </row>
    <row r="11" spans="1:9" x14ac:dyDescent="0.3">
      <c r="A11" t="s">
        <v>18</v>
      </c>
      <c r="B11">
        <v>0.6</v>
      </c>
      <c r="C11">
        <v>5</v>
      </c>
      <c r="D11">
        <v>1459</v>
      </c>
      <c r="E11">
        <v>101</v>
      </c>
      <c r="F11">
        <v>1.2E-2</v>
      </c>
      <c r="G11">
        <v>17</v>
      </c>
      <c r="H11">
        <v>0.98669467787114795</v>
      </c>
      <c r="I11" s="1">
        <v>44405.246976180555</v>
      </c>
    </row>
    <row r="12" spans="1:9" x14ac:dyDescent="0.3">
      <c r="A12" t="s">
        <v>19</v>
      </c>
      <c r="B12">
        <v>0.6</v>
      </c>
      <c r="C12">
        <v>5</v>
      </c>
      <c r="D12">
        <v>1459</v>
      </c>
      <c r="E12">
        <v>901</v>
      </c>
      <c r="F12">
        <v>1.2E-2</v>
      </c>
      <c r="G12">
        <v>17</v>
      </c>
      <c r="H12">
        <v>0.80815767026627805</v>
      </c>
      <c r="I12" s="1">
        <v>44405.281221712961</v>
      </c>
    </row>
    <row r="13" spans="1:9" x14ac:dyDescent="0.3">
      <c r="A13" t="s">
        <v>20</v>
      </c>
      <c r="B13">
        <v>0.6</v>
      </c>
      <c r="C13">
        <v>5</v>
      </c>
      <c r="D13">
        <v>1459</v>
      </c>
      <c r="E13">
        <v>901</v>
      </c>
      <c r="F13">
        <v>1.2E-2</v>
      </c>
      <c r="G13">
        <v>18</v>
      </c>
      <c r="H13">
        <v>0.87026286938504804</v>
      </c>
      <c r="I13" s="1">
        <v>44405.315574016204</v>
      </c>
    </row>
    <row r="14" spans="1:9" x14ac:dyDescent="0.3">
      <c r="A14" t="s">
        <v>21</v>
      </c>
      <c r="B14">
        <v>0.6</v>
      </c>
      <c r="C14">
        <v>5</v>
      </c>
      <c r="D14">
        <v>1459</v>
      </c>
      <c r="E14">
        <v>901</v>
      </c>
      <c r="F14">
        <v>1.2E-2</v>
      </c>
      <c r="G14">
        <v>16</v>
      </c>
      <c r="H14">
        <v>0.87895477484471995</v>
      </c>
      <c r="I14" s="1">
        <v>44405.350787395837</v>
      </c>
    </row>
    <row r="15" spans="1:9" x14ac:dyDescent="0.3">
      <c r="A15" t="s">
        <v>22</v>
      </c>
      <c r="B15">
        <v>0.6</v>
      </c>
      <c r="C15">
        <v>5</v>
      </c>
      <c r="D15">
        <v>1459</v>
      </c>
      <c r="E15">
        <v>901</v>
      </c>
      <c r="F15">
        <v>1.2E-2</v>
      </c>
      <c r="G15">
        <v>16</v>
      </c>
      <c r="H15">
        <v>0.884472507803443</v>
      </c>
      <c r="I15" s="1">
        <v>44405.38580142361</v>
      </c>
    </row>
    <row r="16" spans="1:9" x14ac:dyDescent="0.3">
      <c r="A16" t="s">
        <v>23</v>
      </c>
      <c r="B16">
        <v>0.6</v>
      </c>
      <c r="C16">
        <v>5</v>
      </c>
      <c r="D16">
        <v>1459</v>
      </c>
      <c r="E16">
        <v>901</v>
      </c>
      <c r="F16">
        <v>1.2E-2</v>
      </c>
      <c r="G16">
        <v>19</v>
      </c>
      <c r="H16">
        <v>0.86553436654842297</v>
      </c>
      <c r="I16" s="1">
        <v>44405.420114687498</v>
      </c>
    </row>
    <row r="17" spans="1:9" x14ac:dyDescent="0.3">
      <c r="A17" t="s">
        <v>24</v>
      </c>
      <c r="B17">
        <v>0.6</v>
      </c>
      <c r="C17">
        <v>5</v>
      </c>
      <c r="D17">
        <v>1459</v>
      </c>
      <c r="E17">
        <v>901</v>
      </c>
      <c r="F17">
        <v>1.2E-2</v>
      </c>
      <c r="G17">
        <v>17</v>
      </c>
      <c r="H17">
        <v>0.892194199062467</v>
      </c>
      <c r="I17" s="1">
        <v>44405.496649930552</v>
      </c>
    </row>
    <row r="18" spans="1:9" x14ac:dyDescent="0.3">
      <c r="A18" t="s">
        <v>25</v>
      </c>
      <c r="B18">
        <v>0.6</v>
      </c>
      <c r="C18">
        <v>5</v>
      </c>
      <c r="D18">
        <v>1459</v>
      </c>
      <c r="E18">
        <v>901</v>
      </c>
      <c r="F18">
        <v>1.2E-2</v>
      </c>
      <c r="G18">
        <v>19</v>
      </c>
      <c r="H18">
        <v>0.88793902831669602</v>
      </c>
      <c r="I18" s="1">
        <v>44405.530527326388</v>
      </c>
    </row>
    <row r="19" spans="1:9" x14ac:dyDescent="0.3">
      <c r="A19" t="s">
        <v>26</v>
      </c>
      <c r="B19">
        <v>0.6</v>
      </c>
      <c r="C19">
        <v>5</v>
      </c>
      <c r="D19">
        <v>1459</v>
      </c>
      <c r="E19">
        <v>901</v>
      </c>
      <c r="F19">
        <v>1.2E-2</v>
      </c>
      <c r="G19">
        <v>16</v>
      </c>
      <c r="H19">
        <v>0.85791543136658799</v>
      </c>
      <c r="I19" s="1">
        <v>44405.628539502315</v>
      </c>
    </row>
    <row r="20" spans="1:9" x14ac:dyDescent="0.3">
      <c r="A20" t="s">
        <v>27</v>
      </c>
      <c r="B20">
        <v>0.6</v>
      </c>
      <c r="C20">
        <v>5</v>
      </c>
      <c r="D20">
        <v>1459</v>
      </c>
      <c r="E20">
        <v>901</v>
      </c>
      <c r="F20">
        <v>1.2E-2</v>
      </c>
      <c r="G20">
        <v>20</v>
      </c>
      <c r="H20">
        <v>0.87822537816313195</v>
      </c>
      <c r="I20" s="1">
        <v>44405.662613252316</v>
      </c>
    </row>
    <row r="21" spans="1:9" x14ac:dyDescent="0.3">
      <c r="A21" t="s">
        <v>28</v>
      </c>
      <c r="B21">
        <v>0.6</v>
      </c>
      <c r="C21">
        <v>5</v>
      </c>
      <c r="D21">
        <v>1459</v>
      </c>
      <c r="E21">
        <v>901</v>
      </c>
      <c r="F21">
        <v>1.2E-2</v>
      </c>
      <c r="G21">
        <v>16</v>
      </c>
      <c r="H21">
        <v>0.87483939444723702</v>
      </c>
      <c r="I21" s="1">
        <v>44405.696610439816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tabSelected="1" zoomScaleNormal="100" workbookViewId="0">
      <selection activeCell="R13" sqref="R13"/>
    </sheetView>
  </sheetViews>
  <sheetFormatPr defaultRowHeight="14.4" x14ac:dyDescent="0.3"/>
  <cols>
    <col min="1" max="1" width="14.33203125" customWidth="1"/>
    <col min="2" max="2" width="15.6640625" customWidth="1"/>
    <col min="6" max="6" width="14.33203125" customWidth="1"/>
  </cols>
  <sheetData>
    <row r="1" spans="1:8" x14ac:dyDescent="0.3">
      <c r="A1" s="3" t="s">
        <v>29</v>
      </c>
      <c r="B1" s="4" t="s">
        <v>30</v>
      </c>
    </row>
    <row r="2" spans="1:8" x14ac:dyDescent="0.3">
      <c r="A2" s="3">
        <v>0.96893939393939399</v>
      </c>
      <c r="B2" s="4">
        <v>0.80815767026627805</v>
      </c>
    </row>
    <row r="3" spans="1:8" x14ac:dyDescent="0.3">
      <c r="A3" s="3">
        <v>0.95506447743289802</v>
      </c>
      <c r="B3" s="4">
        <v>0.87026286938504804</v>
      </c>
      <c r="F3" t="s">
        <v>31</v>
      </c>
      <c r="G3">
        <f>_xlfn.QUARTILE.INC(A2:A11,0)</f>
        <v>0.95506447743289802</v>
      </c>
      <c r="H3">
        <f>_xlfn.QUARTILE.INC(B2:B11,0)</f>
        <v>0.80815767026627805</v>
      </c>
    </row>
    <row r="4" spans="1:8" x14ac:dyDescent="0.3">
      <c r="A4" s="3">
        <v>0.98250000000000004</v>
      </c>
      <c r="B4" s="4">
        <v>0.87895477484471995</v>
      </c>
      <c r="F4" t="s">
        <v>32</v>
      </c>
      <c r="G4">
        <f>_xlfn.QUARTILE.INC(A2:A11,1)</f>
        <v>0.96896645021645023</v>
      </c>
      <c r="H4">
        <f>_xlfn.QUARTILE.INC(B2:B11,1)</f>
        <v>0.86671649225757919</v>
      </c>
    </row>
    <row r="5" spans="1:8" x14ac:dyDescent="0.3">
      <c r="A5" s="3">
        <v>0.97655122655122595</v>
      </c>
      <c r="B5" s="4">
        <v>0.884472507803443</v>
      </c>
      <c r="F5" t="s">
        <v>33</v>
      </c>
      <c r="G5">
        <f>_xlfn.QUARTILE.INC(A2:A11,2)</f>
        <v>0.97952561327561294</v>
      </c>
      <c r="H5">
        <f>_xlfn.QUARTILE.INC(B2:B11,2)</f>
        <v>0.87653238630518449</v>
      </c>
    </row>
    <row r="6" spans="1:8" x14ac:dyDescent="0.3">
      <c r="A6" s="3">
        <v>0.96588678377529502</v>
      </c>
      <c r="B6" s="4">
        <v>0.86553436654842297</v>
      </c>
      <c r="F6" t="s">
        <v>41</v>
      </c>
      <c r="G6">
        <f>_xlfn.QUARTILE.INC(A2:A11,3)</f>
        <v>0.98712505835667552</v>
      </c>
      <c r="H6">
        <f>_xlfn.QUARTILE.INC(B2:B11,3)</f>
        <v>0.88309307456376218</v>
      </c>
    </row>
    <row r="7" spans="1:8" x14ac:dyDescent="0.3">
      <c r="A7" s="3">
        <v>0.99724025974025898</v>
      </c>
      <c r="B7" s="4">
        <v>0.892194199062467</v>
      </c>
      <c r="F7" t="s">
        <v>34</v>
      </c>
      <c r="G7">
        <f>_xlfn.QUARTILE.INC(A2:A11,4)</f>
        <v>0.99724025974025898</v>
      </c>
      <c r="H7">
        <f>_xlfn.QUARTILE.INC(B2:B11,4)</f>
        <v>0.892194199062467</v>
      </c>
    </row>
    <row r="8" spans="1:8" x14ac:dyDescent="0.3">
      <c r="A8" s="3">
        <v>0.96904761904761905</v>
      </c>
      <c r="B8" s="4">
        <v>0.88793902831669602</v>
      </c>
      <c r="F8" t="s">
        <v>35</v>
      </c>
      <c r="G8">
        <f>AVERAGE(A2:A11)</f>
        <v>0.97775527452361444</v>
      </c>
      <c r="H8">
        <f>AVERAGE(B2:B11)</f>
        <v>0.8698495620204032</v>
      </c>
    </row>
    <row r="9" spans="1:8" x14ac:dyDescent="0.3">
      <c r="A9" s="3">
        <v>0.98835978835978799</v>
      </c>
      <c r="B9" s="4">
        <v>0.85791543136658799</v>
      </c>
      <c r="F9" t="s">
        <v>36</v>
      </c>
      <c r="G9">
        <f>G8-G3</f>
        <v>2.2690797090716419E-2</v>
      </c>
      <c r="H9">
        <f>H8-H3</f>
        <v>6.169189175412515E-2</v>
      </c>
    </row>
    <row r="10" spans="1:8" x14ac:dyDescent="0.3">
      <c r="A10" s="3">
        <v>0.98726851851851805</v>
      </c>
      <c r="B10" s="4">
        <v>0.87822537816313195</v>
      </c>
    </row>
    <row r="11" spans="1:8" x14ac:dyDescent="0.3">
      <c r="A11" s="3">
        <v>0.98669467787114795</v>
      </c>
      <c r="B11" s="4">
        <v>0.87483939444723702</v>
      </c>
    </row>
    <row r="12" spans="1:8" x14ac:dyDescent="0.3">
      <c r="F12" t="s">
        <v>37</v>
      </c>
    </row>
    <row r="13" spans="1:8" x14ac:dyDescent="0.3">
      <c r="F13" s="2" t="s">
        <v>38</v>
      </c>
    </row>
    <row r="14" spans="1:8" x14ac:dyDescent="0.3">
      <c r="F14" s="2" t="s">
        <v>39</v>
      </c>
    </row>
    <row r="15" spans="1:8" x14ac:dyDescent="0.3">
      <c r="F15" s="2" t="s">
        <v>40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>
      <selection activeCell="E25" sqref="E25"/>
    </sheetView>
  </sheetViews>
  <sheetFormatPr defaultRowHeight="14.4" x14ac:dyDescent="0.3"/>
  <sheetData>
    <row r="1" spans="1:8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 x14ac:dyDescent="0.3">
      <c r="A2">
        <v>0.2</v>
      </c>
      <c r="B2">
        <v>5</v>
      </c>
      <c r="C2">
        <v>1459</v>
      </c>
      <c r="D2">
        <v>1001</v>
      </c>
      <c r="E2">
        <v>1.2E-2</v>
      </c>
      <c r="F2">
        <v>14</v>
      </c>
      <c r="G2">
        <v>0.98451637510828305</v>
      </c>
      <c r="H2" s="1">
        <v>44401.878936400462</v>
      </c>
    </row>
    <row r="3" spans="1:8" x14ac:dyDescent="0.3">
      <c r="A3">
        <v>0.3</v>
      </c>
      <c r="B3">
        <v>5</v>
      </c>
      <c r="C3">
        <v>1459</v>
      </c>
      <c r="D3">
        <v>1001</v>
      </c>
      <c r="E3">
        <v>1.2E-2</v>
      </c>
      <c r="F3">
        <v>14</v>
      </c>
      <c r="G3">
        <v>0.98451637510828305</v>
      </c>
      <c r="H3" s="1">
        <v>44401.89736959491</v>
      </c>
    </row>
    <row r="4" spans="1:8" x14ac:dyDescent="0.3">
      <c r="A4">
        <v>0.4</v>
      </c>
      <c r="B4">
        <v>5</v>
      </c>
      <c r="C4">
        <v>1459</v>
      </c>
      <c r="D4">
        <v>1001</v>
      </c>
      <c r="E4">
        <v>1.2E-2</v>
      </c>
      <c r="F4">
        <v>16</v>
      </c>
      <c r="G4">
        <v>0.898046810672956</v>
      </c>
      <c r="H4" s="1">
        <v>44401.925255069444</v>
      </c>
    </row>
    <row r="5" spans="1:8" x14ac:dyDescent="0.3">
      <c r="A5">
        <v>0.5</v>
      </c>
      <c r="B5">
        <v>5</v>
      </c>
      <c r="C5">
        <v>1459</v>
      </c>
      <c r="D5">
        <v>1001</v>
      </c>
      <c r="E5">
        <v>1.2E-2</v>
      </c>
      <c r="F5">
        <v>15</v>
      </c>
      <c r="G5">
        <v>0.89066972784603804</v>
      </c>
      <c r="H5" s="1">
        <v>44401.95933769676</v>
      </c>
    </row>
    <row r="6" spans="1:8" x14ac:dyDescent="0.3">
      <c r="A6">
        <v>0.6</v>
      </c>
      <c r="B6">
        <v>5</v>
      </c>
      <c r="C6">
        <v>1459</v>
      </c>
      <c r="D6">
        <v>1001</v>
      </c>
      <c r="E6">
        <v>1.2E-2</v>
      </c>
      <c r="F6">
        <v>17</v>
      </c>
      <c r="G6">
        <v>0.863809327139337</v>
      </c>
      <c r="H6" s="1">
        <v>44401.997265625003</v>
      </c>
    </row>
    <row r="7" spans="1:8" x14ac:dyDescent="0.3">
      <c r="A7">
        <v>0.7</v>
      </c>
      <c r="B7">
        <v>5</v>
      </c>
      <c r="C7">
        <v>1459</v>
      </c>
      <c r="D7">
        <v>1001</v>
      </c>
      <c r="E7">
        <v>1.2E-2</v>
      </c>
      <c r="F7">
        <v>38</v>
      </c>
      <c r="G7">
        <v>0.53940337131948302</v>
      </c>
      <c r="H7" s="1">
        <v>44402.039251956019</v>
      </c>
    </row>
    <row r="8" spans="1:8" x14ac:dyDescent="0.3">
      <c r="A8">
        <v>0.8</v>
      </c>
      <c r="B8">
        <v>5</v>
      </c>
      <c r="C8">
        <v>1459</v>
      </c>
      <c r="D8">
        <v>1001</v>
      </c>
      <c r="E8">
        <v>1.2E-2</v>
      </c>
      <c r="F8">
        <v>49</v>
      </c>
      <c r="G8">
        <v>0.41901176539035201</v>
      </c>
      <c r="H8" s="1">
        <v>44402.081088622683</v>
      </c>
    </row>
    <row r="9" spans="1:8" x14ac:dyDescent="0.3">
      <c r="A9">
        <v>0.9</v>
      </c>
      <c r="B9">
        <v>5</v>
      </c>
      <c r="C9">
        <v>1459</v>
      </c>
      <c r="D9">
        <v>1001</v>
      </c>
      <c r="E9">
        <v>1.2E-2</v>
      </c>
      <c r="F9">
        <v>59</v>
      </c>
      <c r="G9">
        <v>0.35008722988124202</v>
      </c>
      <c r="H9" s="1">
        <v>44402.125317881946</v>
      </c>
    </row>
    <row r="10" spans="1:8" x14ac:dyDescent="0.3">
      <c r="A10">
        <v>1</v>
      </c>
      <c r="B10">
        <v>5</v>
      </c>
      <c r="C10">
        <v>1459</v>
      </c>
      <c r="D10">
        <v>1001</v>
      </c>
      <c r="E10">
        <v>1.2E-2</v>
      </c>
      <c r="F10">
        <v>7</v>
      </c>
      <c r="G10">
        <v>0.34074357295938101</v>
      </c>
      <c r="H10" s="1">
        <v>44402.168428842589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>
      <selection activeCell="G26" sqref="G26"/>
    </sheetView>
  </sheetViews>
  <sheetFormatPr defaultRowHeight="14.4" x14ac:dyDescent="0.3"/>
  <sheetData>
    <row r="1" spans="1:8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 x14ac:dyDescent="0.3">
      <c r="A2">
        <v>0.2</v>
      </c>
      <c r="B2">
        <v>10</v>
      </c>
      <c r="C2">
        <v>1459</v>
      </c>
      <c r="D2">
        <v>1001</v>
      </c>
      <c r="E2">
        <v>1.2E-2</v>
      </c>
      <c r="F2">
        <v>3</v>
      </c>
      <c r="G2">
        <v>1</v>
      </c>
      <c r="H2" s="1">
        <v>1.8159722222222223E-3</v>
      </c>
    </row>
    <row r="3" spans="1:8" x14ac:dyDescent="0.3">
      <c r="A3">
        <v>0.3</v>
      </c>
      <c r="B3">
        <v>10</v>
      </c>
      <c r="C3">
        <v>1459</v>
      </c>
      <c r="D3">
        <v>1001</v>
      </c>
      <c r="E3">
        <v>1.2E-2</v>
      </c>
      <c r="F3">
        <v>3</v>
      </c>
      <c r="G3">
        <v>1</v>
      </c>
      <c r="H3" s="1">
        <v>2.0512731481481482E-2</v>
      </c>
    </row>
    <row r="4" spans="1:8" x14ac:dyDescent="0.3">
      <c r="A4">
        <v>0.4</v>
      </c>
      <c r="B4">
        <v>10</v>
      </c>
      <c r="C4">
        <v>1459</v>
      </c>
      <c r="D4">
        <v>1001</v>
      </c>
      <c r="E4">
        <v>1.2E-2</v>
      </c>
      <c r="F4">
        <v>4</v>
      </c>
      <c r="G4">
        <v>0.94780219799999998</v>
      </c>
      <c r="H4" s="1">
        <v>8.2696759259259251E-3</v>
      </c>
    </row>
    <row r="5" spans="1:8" x14ac:dyDescent="0.3">
      <c r="A5">
        <v>0.5</v>
      </c>
      <c r="B5">
        <v>10</v>
      </c>
      <c r="C5">
        <v>1459</v>
      </c>
      <c r="D5">
        <v>1001</v>
      </c>
      <c r="E5">
        <v>1.2E-2</v>
      </c>
      <c r="F5">
        <v>5</v>
      </c>
      <c r="G5">
        <v>0.841471572</v>
      </c>
      <c r="H5" s="1">
        <v>1.7662037037037039E-3</v>
      </c>
    </row>
    <row r="6" spans="1:8" x14ac:dyDescent="0.3">
      <c r="A6">
        <v>0.6</v>
      </c>
      <c r="B6">
        <v>10</v>
      </c>
      <c r="C6">
        <v>1459</v>
      </c>
      <c r="D6">
        <v>1001</v>
      </c>
      <c r="E6">
        <v>1.2E-2</v>
      </c>
      <c r="F6">
        <v>6</v>
      </c>
      <c r="G6">
        <v>0.86183237099999999</v>
      </c>
      <c r="H6" s="1">
        <v>1.0833333333333335E-3</v>
      </c>
    </row>
    <row r="7" spans="1:8" x14ac:dyDescent="0.3">
      <c r="A7">
        <v>0.7</v>
      </c>
      <c r="B7">
        <v>10</v>
      </c>
      <c r="C7">
        <v>1459</v>
      </c>
      <c r="D7">
        <v>1001</v>
      </c>
      <c r="E7">
        <v>1.2E-2</v>
      </c>
      <c r="F7">
        <v>10</v>
      </c>
      <c r="G7">
        <v>0.58491536899999996</v>
      </c>
      <c r="H7" s="1">
        <v>4.5347222222222221E-3</v>
      </c>
    </row>
    <row r="8" spans="1:8" x14ac:dyDescent="0.3">
      <c r="A8">
        <v>0.8</v>
      </c>
      <c r="B8">
        <v>10</v>
      </c>
      <c r="C8">
        <v>1459</v>
      </c>
      <c r="D8">
        <v>1001</v>
      </c>
      <c r="E8">
        <v>1.2E-2</v>
      </c>
      <c r="F8">
        <v>21</v>
      </c>
      <c r="G8">
        <v>0.36457460200000003</v>
      </c>
      <c r="H8" s="1">
        <v>1.2457175925925925E-2</v>
      </c>
    </row>
    <row r="9" spans="1:8" x14ac:dyDescent="0.3">
      <c r="A9">
        <v>0.9</v>
      </c>
      <c r="B9">
        <v>10</v>
      </c>
      <c r="C9">
        <v>1459</v>
      </c>
      <c r="D9">
        <v>1001</v>
      </c>
      <c r="E9">
        <v>1.2E-2</v>
      </c>
      <c r="F9">
        <v>28</v>
      </c>
      <c r="G9">
        <v>0.33239864000000002</v>
      </c>
      <c r="H9" s="1">
        <v>2.2130787037037036E-2</v>
      </c>
    </row>
    <row r="10" spans="1:8" x14ac:dyDescent="0.3">
      <c r="A10">
        <v>1</v>
      </c>
      <c r="B10">
        <v>10</v>
      </c>
      <c r="C10">
        <v>1459</v>
      </c>
      <c r="D10">
        <v>1001</v>
      </c>
      <c r="E10">
        <v>1.2E-2</v>
      </c>
      <c r="F10">
        <v>2</v>
      </c>
      <c r="G10">
        <v>0.487100019</v>
      </c>
      <c r="H10" s="1">
        <v>3.2239583333333328E-2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workbookViewId="0">
      <selection activeCell="G27" sqref="G27:G28"/>
    </sheetView>
  </sheetViews>
  <sheetFormatPr defaultRowHeight="14.4" x14ac:dyDescent="0.3"/>
  <sheetData>
    <row r="1" spans="1:8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 x14ac:dyDescent="0.3">
      <c r="A2">
        <v>0.6</v>
      </c>
      <c r="B2">
        <v>2</v>
      </c>
      <c r="C2">
        <v>1459</v>
      </c>
      <c r="D2">
        <v>1001</v>
      </c>
      <c r="E2">
        <v>1.2E-2</v>
      </c>
      <c r="F2">
        <v>77</v>
      </c>
      <c r="G2">
        <v>0.91763893552371001</v>
      </c>
      <c r="H2" s="1">
        <v>44402.430037349535</v>
      </c>
    </row>
    <row r="3" spans="1:8" x14ac:dyDescent="0.3">
      <c r="A3">
        <v>0.6</v>
      </c>
      <c r="B3">
        <v>3</v>
      </c>
      <c r="C3">
        <v>1459</v>
      </c>
      <c r="D3">
        <v>1001</v>
      </c>
      <c r="E3">
        <v>1.2E-2</v>
      </c>
      <c r="F3">
        <v>43</v>
      </c>
      <c r="G3">
        <v>0.91044931752966596</v>
      </c>
      <c r="H3" s="1">
        <v>44402.46728527778</v>
      </c>
    </row>
    <row r="4" spans="1:8" x14ac:dyDescent="0.3">
      <c r="A4">
        <v>0.6</v>
      </c>
      <c r="B4">
        <v>4</v>
      </c>
      <c r="C4">
        <v>1459</v>
      </c>
      <c r="D4">
        <v>1001</v>
      </c>
      <c r="E4">
        <v>1.2E-2</v>
      </c>
      <c r="F4">
        <v>27</v>
      </c>
      <c r="G4">
        <v>0.907663994257072</v>
      </c>
      <c r="H4" s="1">
        <v>44402.505740092594</v>
      </c>
    </row>
    <row r="5" spans="1:8" x14ac:dyDescent="0.3">
      <c r="A5">
        <v>0.6</v>
      </c>
      <c r="B5">
        <v>5</v>
      </c>
      <c r="C5">
        <v>1459</v>
      </c>
      <c r="D5">
        <v>1001</v>
      </c>
      <c r="E5">
        <v>1.2E-2</v>
      </c>
      <c r="F5">
        <v>17</v>
      </c>
      <c r="G5">
        <v>0.863809327139337</v>
      </c>
      <c r="H5" s="1">
        <v>44402.546743576386</v>
      </c>
    </row>
    <row r="6" spans="1:8" x14ac:dyDescent="0.3">
      <c r="A6">
        <v>0.6</v>
      </c>
      <c r="B6">
        <v>6</v>
      </c>
      <c r="C6">
        <v>1459</v>
      </c>
      <c r="D6">
        <v>1001</v>
      </c>
      <c r="E6">
        <v>1.2E-2</v>
      </c>
      <c r="F6">
        <v>9</v>
      </c>
      <c r="G6">
        <v>0.85268304561782804</v>
      </c>
      <c r="H6" s="1">
        <v>44402.587303217595</v>
      </c>
    </row>
    <row r="7" spans="1:8" x14ac:dyDescent="0.3">
      <c r="A7">
        <v>0.6</v>
      </c>
      <c r="B7">
        <v>7</v>
      </c>
      <c r="C7">
        <v>1459</v>
      </c>
      <c r="D7">
        <v>1001</v>
      </c>
      <c r="E7">
        <v>1.2E-2</v>
      </c>
      <c r="F7">
        <v>8</v>
      </c>
      <c r="G7">
        <v>0.77282777022360305</v>
      </c>
      <c r="H7" s="1">
        <v>44402.626213194446</v>
      </c>
    </row>
    <row r="8" spans="1:8" x14ac:dyDescent="0.3">
      <c r="A8">
        <v>0.6</v>
      </c>
      <c r="B8">
        <v>8</v>
      </c>
      <c r="C8">
        <v>1459</v>
      </c>
      <c r="D8">
        <v>1001</v>
      </c>
      <c r="E8">
        <v>1.2E-2</v>
      </c>
      <c r="F8">
        <v>8</v>
      </c>
      <c r="G8">
        <v>0.78207922592113699</v>
      </c>
      <c r="H8" s="1">
        <v>44402.66546358796</v>
      </c>
    </row>
    <row r="9" spans="1:8" x14ac:dyDescent="0.3">
      <c r="A9">
        <v>0.6</v>
      </c>
      <c r="B9">
        <v>9</v>
      </c>
      <c r="C9">
        <v>1459</v>
      </c>
      <c r="D9">
        <v>1001</v>
      </c>
      <c r="E9">
        <v>1.2E-2</v>
      </c>
      <c r="F9">
        <v>6</v>
      </c>
      <c r="G9">
        <v>0.74577391917545299</v>
      </c>
      <c r="H9" s="1">
        <v>44402.705297615743</v>
      </c>
    </row>
    <row r="10" spans="1:8" x14ac:dyDescent="0.3">
      <c r="A10">
        <v>0.6</v>
      </c>
      <c r="B10">
        <v>10</v>
      </c>
      <c r="C10">
        <v>1459</v>
      </c>
      <c r="D10">
        <v>1001</v>
      </c>
      <c r="E10">
        <v>1.2E-2</v>
      </c>
      <c r="F10">
        <v>6</v>
      </c>
      <c r="G10">
        <v>0.86183237052802197</v>
      </c>
      <c r="H10" s="1">
        <v>44402.746776747685</v>
      </c>
    </row>
    <row r="11" spans="1:8" x14ac:dyDescent="0.3">
      <c r="A11">
        <v>0.6</v>
      </c>
      <c r="B11">
        <v>11</v>
      </c>
      <c r="C11">
        <v>1459</v>
      </c>
      <c r="D11">
        <v>1001</v>
      </c>
      <c r="E11">
        <v>1.2E-2</v>
      </c>
      <c r="F11">
        <v>5</v>
      </c>
      <c r="G11">
        <v>0.84147157190635402</v>
      </c>
      <c r="H11" s="1">
        <v>44402.786958449076</v>
      </c>
    </row>
    <row r="12" spans="1:8" x14ac:dyDescent="0.3">
      <c r="A12">
        <v>0.6</v>
      </c>
      <c r="B12">
        <v>12</v>
      </c>
      <c r="C12">
        <v>1459</v>
      </c>
      <c r="D12">
        <v>1001</v>
      </c>
      <c r="E12">
        <v>1.2E-2</v>
      </c>
      <c r="F12">
        <v>5</v>
      </c>
      <c r="G12">
        <v>0.82396183937765999</v>
      </c>
      <c r="H12" s="1">
        <v>44402.827944999997</v>
      </c>
    </row>
    <row r="13" spans="1:8" x14ac:dyDescent="0.3">
      <c r="A13">
        <v>0.6</v>
      </c>
      <c r="B13">
        <v>13</v>
      </c>
      <c r="C13">
        <v>1459</v>
      </c>
      <c r="D13">
        <v>1001</v>
      </c>
      <c r="E13">
        <v>1.2E-2</v>
      </c>
      <c r="F13">
        <v>5</v>
      </c>
      <c r="G13">
        <v>0.82396183937765999</v>
      </c>
      <c r="H13" s="1">
        <v>44402.868041041664</v>
      </c>
    </row>
    <row r="14" spans="1:8" x14ac:dyDescent="0.3">
      <c r="A14">
        <v>0.6</v>
      </c>
      <c r="B14">
        <v>14</v>
      </c>
      <c r="C14">
        <v>1459</v>
      </c>
      <c r="D14">
        <v>1001</v>
      </c>
      <c r="E14">
        <v>1.2E-2</v>
      </c>
      <c r="F14">
        <v>5</v>
      </c>
      <c r="G14">
        <v>0.82919413919413898</v>
      </c>
      <c r="H14" s="1">
        <v>44402.907652118054</v>
      </c>
    </row>
    <row r="15" spans="1:8" x14ac:dyDescent="0.3">
      <c r="A15">
        <v>0.6</v>
      </c>
      <c r="B15">
        <v>15</v>
      </c>
      <c r="C15">
        <v>1459</v>
      </c>
      <c r="D15">
        <v>1001</v>
      </c>
      <c r="E15">
        <v>1.2E-2</v>
      </c>
      <c r="F15">
        <v>4</v>
      </c>
      <c r="G15">
        <v>0.94780219780219699</v>
      </c>
      <c r="H15" s="1">
        <v>44402.947416180556</v>
      </c>
    </row>
    <row r="16" spans="1:8" x14ac:dyDescent="0.3">
      <c r="A16">
        <v>0.6</v>
      </c>
      <c r="B16">
        <v>16</v>
      </c>
      <c r="C16">
        <v>1459</v>
      </c>
      <c r="D16">
        <v>1001</v>
      </c>
      <c r="E16">
        <v>1.2E-2</v>
      </c>
      <c r="F16">
        <v>4</v>
      </c>
      <c r="G16">
        <v>0.94815705128205097</v>
      </c>
      <c r="H16" s="1">
        <v>44402.988722650465</v>
      </c>
    </row>
    <row r="17" spans="1:8" x14ac:dyDescent="0.3">
      <c r="A17">
        <v>0.6</v>
      </c>
      <c r="B17">
        <v>17</v>
      </c>
      <c r="C17">
        <v>1459</v>
      </c>
      <c r="D17">
        <v>1001</v>
      </c>
      <c r="E17">
        <v>1.2E-2</v>
      </c>
      <c r="F17">
        <v>4</v>
      </c>
      <c r="G17">
        <v>0.94815705128205097</v>
      </c>
      <c r="H17" s="1">
        <v>44403.029050300924</v>
      </c>
    </row>
    <row r="18" spans="1:8" x14ac:dyDescent="0.3">
      <c r="A18">
        <v>0.6</v>
      </c>
      <c r="B18">
        <v>18</v>
      </c>
      <c r="C18">
        <v>1459</v>
      </c>
      <c r="D18">
        <v>1001</v>
      </c>
      <c r="E18">
        <v>1.2E-2</v>
      </c>
      <c r="F18">
        <v>4</v>
      </c>
      <c r="G18">
        <v>0.94815705128205097</v>
      </c>
      <c r="H18" s="1">
        <v>44403.068850266201</v>
      </c>
    </row>
    <row r="19" spans="1:8" x14ac:dyDescent="0.3">
      <c r="A19">
        <v>0.6</v>
      </c>
      <c r="B19">
        <v>19</v>
      </c>
      <c r="C19">
        <v>1459</v>
      </c>
      <c r="D19">
        <v>1001</v>
      </c>
      <c r="E19">
        <v>1.2E-2</v>
      </c>
      <c r="F19">
        <v>4</v>
      </c>
      <c r="G19">
        <v>0.94815705128205097</v>
      </c>
      <c r="H19" s="1">
        <v>44403.108413136571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pucrecordcrossvalidation</vt:lpstr>
      <vt:lpstr>Cross-validation</vt:lpstr>
      <vt:lpstr>5 points variation max epsilon</vt:lpstr>
      <vt:lpstr>10 point variation max epsilon</vt:lpstr>
      <vt:lpstr>variation nombre point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Richardson</dc:creator>
  <cp:lastModifiedBy>Alexandre Richardson</cp:lastModifiedBy>
  <dcterms:created xsi:type="dcterms:W3CDTF">2021-07-28T21:27:51Z</dcterms:created>
  <dcterms:modified xsi:type="dcterms:W3CDTF">2021-07-29T17:45:58Z</dcterms:modified>
</cp:coreProperties>
</file>